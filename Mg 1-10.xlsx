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gho0008/Desktop/"/>
    </mc:Choice>
  </mc:AlternateContent>
  <xr:revisionPtr revIDLastSave="0" documentId="8_{0E3B5EE3-E778-B941-89E0-35962B4B3321}" xr6:coauthVersionLast="45" xr6:coauthVersionMax="45" xr10:uidLastSave="{00000000-0000-0000-0000-000000000000}"/>
  <bookViews>
    <workbookView xWindow="780" yWindow="960" windowWidth="27640" windowHeight="16160" xr2:uid="{B92278D1-50FD-DF4C-BCDF-973AD8C982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11" i="1" l="1"/>
  <c r="AH10" i="1"/>
  <c r="AH9" i="1"/>
  <c r="AH8" i="1"/>
  <c r="AH7" i="1"/>
  <c r="AH6" i="1"/>
  <c r="AH5" i="1"/>
  <c r="AH4" i="1"/>
  <c r="AH3" i="1"/>
  <c r="AH2" i="1"/>
</calcChain>
</file>

<file path=xl/sharedStrings.xml><?xml version="1.0" encoding="utf-8"?>
<sst xmlns="http://schemas.openxmlformats.org/spreadsheetml/2006/main" count="57" uniqueCount="50">
  <si>
    <t>Name</t>
  </si>
  <si>
    <t>Process-Heat treatment</t>
  </si>
  <si>
    <t>Mg</t>
  </si>
  <si>
    <t>Nd</t>
  </si>
  <si>
    <t>Ce</t>
  </si>
  <si>
    <t>La</t>
  </si>
  <si>
    <t>Zn</t>
  </si>
  <si>
    <t>Sn</t>
  </si>
  <si>
    <t>Al</t>
  </si>
  <si>
    <t>Ca</t>
  </si>
  <si>
    <t>Zr</t>
  </si>
  <si>
    <t>Ag</t>
  </si>
  <si>
    <t>Ho</t>
  </si>
  <si>
    <t>Mn</t>
  </si>
  <si>
    <t>Y</t>
  </si>
  <si>
    <t>Gd</t>
  </si>
  <si>
    <t>Cu</t>
  </si>
  <si>
    <t>Si</t>
  </si>
  <si>
    <t>Li</t>
  </si>
  <si>
    <t>Yb</t>
  </si>
  <si>
    <t>Th</t>
  </si>
  <si>
    <t>Sb</t>
  </si>
  <si>
    <t>Pr</t>
  </si>
  <si>
    <t>Ga</t>
  </si>
  <si>
    <t>Be</t>
  </si>
  <si>
    <t>Fe</t>
  </si>
  <si>
    <t>Ni</t>
  </si>
  <si>
    <t>Sc</t>
  </si>
  <si>
    <t>Tb</t>
  </si>
  <si>
    <t>Dy</t>
  </si>
  <si>
    <t>Er</t>
  </si>
  <si>
    <t>Sr</t>
  </si>
  <si>
    <t>Bi</t>
  </si>
  <si>
    <t>Sum</t>
  </si>
  <si>
    <t>YS(MPa)</t>
  </si>
  <si>
    <t>UTS(MPa)</t>
  </si>
  <si>
    <t xml:space="preserve">Mg-15Sc-1Mn </t>
  </si>
  <si>
    <t>Cast (Any cast type, then heat treated)</t>
  </si>
  <si>
    <t>Mg-20Gd</t>
  </si>
  <si>
    <t>Mg-Gd-Y-Zn-Zr (5)</t>
  </si>
  <si>
    <t>Mg-Y-Gd-Zr(3)</t>
  </si>
  <si>
    <t>Extruded</t>
  </si>
  <si>
    <t>Mg-Al-Zn-Mn-Bi</t>
  </si>
  <si>
    <t>Cast (Die cast, HPDC, fast cool)</t>
  </si>
  <si>
    <t>Mg-8Al-5Ga-3Zn</t>
  </si>
  <si>
    <t>Mg-8Al-2Ga-Zn</t>
  </si>
  <si>
    <t>Mg-9Al-2Ga</t>
  </si>
  <si>
    <t>Mg-8Al-3Ga</t>
  </si>
  <si>
    <t>Mg-8Al-2Ga</t>
  </si>
  <si>
    <t>Ductility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</si>
</sst>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164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1B87-37C4-FF4B-9CDF-DAA5B7BE3A62}">
  <dimension ref="A1:AK11"/>
  <sheetViews>
    <sheetView tabSelected="1" workbookViewId="0">
      <selection activeCell="B23" sqref="B23"/>
    </sheetView>
  </sheetViews>
  <sheetFormatPr baseColWidth="10" defaultRowHeight="16"/>
  <cols>
    <col min="1" max="1" width="21.6640625" customWidth="1"/>
    <col min="2" max="2" width="24.1640625" customWidth="1"/>
  </cols>
  <sheetData>
    <row r="1" spans="1:37" s="4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1" t="s">
        <v>49</v>
      </c>
    </row>
    <row r="2" spans="1:37" s="4" customFormat="1">
      <c r="A2" s="4" t="s">
        <v>36</v>
      </c>
      <c r="B2" s="2" t="s">
        <v>37</v>
      </c>
      <c r="C2" s="2">
        <v>83.4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1.4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15.2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5">
        <f t="shared" ref="AH2:AH11" si="0">SUM(C2:AG2)</f>
        <v>100.00000000000001</v>
      </c>
      <c r="AI2" s="4">
        <v>152.5</v>
      </c>
      <c r="AJ2" s="4">
        <v>174.5</v>
      </c>
      <c r="AK2" s="4">
        <v>0.25</v>
      </c>
    </row>
    <row r="3" spans="1:37" s="4" customFormat="1">
      <c r="A3" s="4" t="s">
        <v>38</v>
      </c>
      <c r="B3" s="2" t="s">
        <v>37</v>
      </c>
      <c r="C3" s="2">
        <v>80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0.27</v>
      </c>
      <c r="L3" s="2">
        <v>0</v>
      </c>
      <c r="M3" s="2">
        <v>0</v>
      </c>
      <c r="N3" s="2">
        <v>0.01</v>
      </c>
      <c r="O3" s="2">
        <v>0</v>
      </c>
      <c r="P3" s="2">
        <v>19.7</v>
      </c>
      <c r="Q3" s="2">
        <v>0.01</v>
      </c>
      <c r="R3" s="2">
        <v>0.01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5">
        <f t="shared" si="0"/>
        <v>100.00000000000001</v>
      </c>
      <c r="AI3" s="4">
        <v>265</v>
      </c>
      <c r="AJ3" s="4">
        <v>330</v>
      </c>
      <c r="AK3" s="4">
        <v>2.7</v>
      </c>
    </row>
    <row r="4" spans="1:37" s="4" customFormat="1">
      <c r="A4" s="4" t="s">
        <v>39</v>
      </c>
      <c r="B4" s="2" t="s">
        <v>37</v>
      </c>
      <c r="C4" s="2">
        <v>79.55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0.34</v>
      </c>
      <c r="L4" s="2">
        <v>1.8799999999999997</v>
      </c>
      <c r="M4" s="2">
        <v>0</v>
      </c>
      <c r="N4" s="2">
        <v>0</v>
      </c>
      <c r="O4" s="2">
        <v>0</v>
      </c>
      <c r="P4" s="2">
        <v>18.23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5">
        <f t="shared" si="0"/>
        <v>100</v>
      </c>
      <c r="AI4" s="4">
        <v>293</v>
      </c>
      <c r="AJ4" s="4">
        <v>414</v>
      </c>
      <c r="AK4" s="4">
        <v>2.2000000000000002</v>
      </c>
    </row>
    <row r="5" spans="1:37" s="4" customFormat="1">
      <c r="A5" s="4" t="s">
        <v>40</v>
      </c>
      <c r="B5" s="2" t="s">
        <v>41</v>
      </c>
      <c r="C5" s="2">
        <v>74.400000000000006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25.6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5">
        <f t="shared" si="0"/>
        <v>100</v>
      </c>
      <c r="AI5" s="4">
        <v>320</v>
      </c>
      <c r="AJ5" s="4">
        <v>353</v>
      </c>
      <c r="AK5" s="4">
        <v>0.4</v>
      </c>
    </row>
    <row r="6" spans="1:37" s="4" customFormat="1">
      <c r="A6" s="6" t="s">
        <v>42</v>
      </c>
      <c r="B6" s="2" t="s">
        <v>43</v>
      </c>
      <c r="C6" s="2">
        <v>87</v>
      </c>
      <c r="D6" s="2">
        <v>0</v>
      </c>
      <c r="E6" s="2">
        <v>0</v>
      </c>
      <c r="F6" s="2">
        <v>0</v>
      </c>
      <c r="G6" s="2">
        <v>0.8</v>
      </c>
      <c r="H6" s="2">
        <v>0</v>
      </c>
      <c r="I6" s="2">
        <v>9</v>
      </c>
      <c r="J6" s="2">
        <v>0</v>
      </c>
      <c r="K6" s="2">
        <v>0</v>
      </c>
      <c r="L6" s="2">
        <v>0</v>
      </c>
      <c r="M6" s="2">
        <v>0</v>
      </c>
      <c r="N6" s="2">
        <v>0.2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3</v>
      </c>
      <c r="AH6" s="7">
        <f t="shared" si="0"/>
        <v>100</v>
      </c>
      <c r="AI6" s="6">
        <v>162</v>
      </c>
      <c r="AJ6" s="6">
        <v>224</v>
      </c>
      <c r="AK6" s="6">
        <v>3.2</v>
      </c>
    </row>
    <row r="7" spans="1:37" s="4" customFormat="1">
      <c r="A7" s="4" t="s">
        <v>44</v>
      </c>
      <c r="B7" s="2" t="s">
        <v>41</v>
      </c>
      <c r="C7" s="2">
        <v>84</v>
      </c>
      <c r="D7" s="2">
        <v>0</v>
      </c>
      <c r="E7" s="2">
        <v>0</v>
      </c>
      <c r="F7" s="2">
        <v>0</v>
      </c>
      <c r="G7" s="2">
        <v>3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5">
        <f t="shared" si="0"/>
        <v>100</v>
      </c>
      <c r="AI7" s="4">
        <v>518</v>
      </c>
      <c r="AJ7" s="4">
        <v>646</v>
      </c>
      <c r="AK7" s="4">
        <v>1.2</v>
      </c>
    </row>
    <row r="8" spans="1:37" s="4" customFormat="1">
      <c r="A8" s="4" t="s">
        <v>45</v>
      </c>
      <c r="B8" s="2" t="s">
        <v>41</v>
      </c>
      <c r="C8" s="2">
        <v>89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5">
        <f t="shared" si="0"/>
        <v>100</v>
      </c>
      <c r="AI8" s="4">
        <v>518</v>
      </c>
      <c r="AJ8" s="4">
        <v>646</v>
      </c>
      <c r="AK8" s="4">
        <v>1.2</v>
      </c>
    </row>
    <row r="9" spans="1:37" s="4" customFormat="1">
      <c r="A9" s="4" t="s">
        <v>46</v>
      </c>
      <c r="B9" s="2" t="s">
        <v>41</v>
      </c>
      <c r="C9" s="2">
        <v>89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5">
        <f t="shared" si="0"/>
        <v>100</v>
      </c>
      <c r="AI9" s="4">
        <v>474</v>
      </c>
      <c r="AJ9" s="4">
        <v>613</v>
      </c>
      <c r="AK9" s="4">
        <v>1.3</v>
      </c>
    </row>
    <row r="10" spans="1:37" s="4" customFormat="1">
      <c r="A10" s="4" t="s">
        <v>47</v>
      </c>
      <c r="B10" s="2" t="s">
        <v>41</v>
      </c>
      <c r="C10" s="2">
        <v>89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5">
        <f t="shared" si="0"/>
        <v>100</v>
      </c>
      <c r="AI10" s="4">
        <v>498</v>
      </c>
      <c r="AJ10" s="4">
        <v>630</v>
      </c>
      <c r="AK10" s="4">
        <v>2.6</v>
      </c>
    </row>
    <row r="11" spans="1:37" s="4" customFormat="1">
      <c r="A11" s="4" t="s">
        <v>48</v>
      </c>
      <c r="B11" s="2" t="s">
        <v>41</v>
      </c>
      <c r="C11" s="2">
        <v>90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5">
        <f t="shared" si="0"/>
        <v>100</v>
      </c>
      <c r="AI11" s="4">
        <v>499</v>
      </c>
      <c r="AJ11" s="4">
        <v>595</v>
      </c>
      <c r="AK11" s="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Marzie Ghorbani</dc:creator>
  <cp:lastModifiedBy>Marzie Ghorbani</cp:lastModifiedBy>
  <dcterms:created xsi:type="dcterms:W3CDTF">2022-03-06T03:10:37Z</dcterms:created>
  <dcterms:modified xsi:type="dcterms:W3CDTF">2022-03-06T03:12:07Z</dcterms:modified>
</cp:coreProperties>
</file>